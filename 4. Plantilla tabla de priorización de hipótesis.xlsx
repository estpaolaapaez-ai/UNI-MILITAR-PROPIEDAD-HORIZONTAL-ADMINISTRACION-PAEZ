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aola\Downloads\"/>
    </mc:Choice>
  </mc:AlternateContent>
  <bookViews>
    <workbookView xWindow="0" yWindow="0" windowWidth="20490" windowHeight="7650" activeTab="1"/>
  </bookViews>
  <sheets>
    <sheet name="Tablero de priorización" sheetId="1" r:id="rId1"/>
    <sheet name="Ficha de Indicador" sheetId="2" r:id="rId2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5" i="2" l="1"/>
</calcChain>
</file>

<file path=xl/sharedStrings.xml><?xml version="1.0" encoding="utf-8"?>
<sst xmlns="http://schemas.openxmlformats.org/spreadsheetml/2006/main" count="181" uniqueCount="143">
  <si>
    <t>Causa</t>
  </si>
  <si>
    <t>Fase DT origen (E/D/I)</t>
  </si>
  <si>
    <t>Supuesto central</t>
  </si>
  <si>
    <t>Insight de empatía</t>
  </si>
  <si>
    <t>Pregunta analítica</t>
  </si>
  <si>
    <t>Variables (nombres exactos)</t>
  </si>
  <si>
    <t>Tipo (Outcome / Explic / Control / Segmento)</t>
  </si>
  <si>
    <t>Cálculo / Transformación</t>
  </si>
  <si>
    <t>Métrica (nombre + fórmula)</t>
  </si>
  <si>
    <t>Paso 1: Objetivo del Indicador</t>
  </si>
  <si>
    <t>Patrón esperado (si cierta)</t>
  </si>
  <si>
    <t>Condición refutación</t>
  </si>
  <si>
    <t>Valor esperado para usuario/ciudadano</t>
  </si>
  <si>
    <t>Riesgo si falsa</t>
  </si>
  <si>
    <t>Acción si confirma</t>
  </si>
  <si>
    <t>Acción si refuta</t>
  </si>
  <si>
    <t>Experimento analítico mínimo (query + visual 1 línea)</t>
  </si>
  <si>
    <t>Estado (V/A/R)</t>
  </si>
  <si>
    <t>Paso 2: Factor Crítico</t>
  </si>
  <si>
    <t>Paso 3: Fórmula</t>
  </si>
  <si>
    <t>Paso 4: Unidad</t>
  </si>
  <si>
    <t>Paso 5: Fuentes</t>
  </si>
  <si>
    <t>Paso 6: Seguimiento</t>
  </si>
  <si>
    <t>¿QUÉ HAGO? (Acción)</t>
  </si>
  <si>
    <t>¿CÓMO LO HAGO? (Método)</t>
  </si>
  <si>
    <t>¿PARA QUÉ LO HAGO? (Propósito)</t>
  </si>
  <si>
    <t>Aspecto específico a Medir</t>
  </si>
  <si>
    <t>Público objetivo (Para quién):</t>
  </si>
  <si>
    <t>Dimensión (Marca una)</t>
  </si>
  <si>
    <t>Nombre del indicador</t>
  </si>
  <si>
    <t>Numerador (Variable Y)</t>
  </si>
  <si>
    <t>Denominador (Población)</t>
  </si>
  <si>
    <t>Fórmula (Matemática)</t>
  </si>
  <si>
    <t>Prueba de estrés</t>
  </si>
  <si>
    <t>Tipo (Marca una)</t>
  </si>
  <si>
    <t>Frecuencia de medición</t>
  </si>
  <si>
    <t>Fuente de datos (Verificación)</t>
  </si>
  <si>
    <t>Línea base (Patrón actual)</t>
  </si>
  <si>
    <t>Patrón esperado (Meta)</t>
  </si>
  <si>
    <r>
      <t xml:space="preserve">Condición de refutación (Fallo). </t>
    </r>
    <r>
      <rPr>
        <b/>
        <i/>
        <sz val="12"/>
        <color theme="1"/>
        <rFont val="Times New Roman"/>
        <family val="1"/>
      </rPr>
      <t>Es el número que te dice que tu idea no funcionó.</t>
    </r>
  </si>
  <si>
    <t>SIII</t>
  </si>
  <si>
    <t>Informalidad operativa por propietarios que ofrecen vivienda turística evadiendo el Registro Nacional de Turismo (RNT) y silenciando el Reglamento de Propiedad Horizontal.</t>
  </si>
  <si>
    <t>Brecha de privacidad en portería por recopilación ilegal de datos sensibles (biometría dactilar obligatoria) e inexistencia de avisos visibles de videovigilancia.</t>
  </si>
  <si>
    <t>Alta litigiosidad por sanciones y manuales de convivencia arbitrarios debido al vacío de idoneidad formativa en turismo del administrador tradicional.</t>
  </si>
  <si>
    <t>Definir (D): Estructuración del reto de interoperabilidad legal y mapeo de bases de datos fiduciarias.</t>
  </si>
  <si>
    <t>Empatizar (E): Comprensión de los temores fiduciarios del administrador y el derecho al Habeas Data del huésped.</t>
  </si>
  <si>
    <t>Investigar / Evaluar (I): Análisis de las causales de nulidad en juzgados de tutela y exigencias de la reforma de ley.</t>
  </si>
  <si>
    <t>Los administradores fiduciarios se sienten de manos atadas para reportar evasores porque la validación manual de cada anuncio en plataformas es inmanejable.</t>
  </si>
  <si>
    <t>Los huéspedes sienten desconfianza extrema al dar su huella digital en conjuntos privados, mientras la copropiedad desconoce que la SIC multa hasta con 2.000 SMLMV.</t>
  </si>
  <si>
    <t>Los administradores imponen sanciones pecuniarias sin debido proceso por desesperación ante ruidos molestos, lo que provoca la nulidad del cobro vía tutela.</t>
  </si>
  <si>
    <t>Asumimos que si los conjuntos implementan una API de validación automática en tiempo real que cruce la reserva del huésped con el RNT activo y su estado contable, la informalidad caerá un 90% y se evitará que el administrador responda por culpa leve.</t>
  </si>
  <si>
    <t>Asumimos que si la PH suprime los lectores biométricos obligatorios y los reemplaza por códigos QR con consentimiento previo de Habeas Data, se mitiga al 100% el riesgo de multas de la SIC y se agiliza el flujo de ingreso de turistas.</t>
  </si>
  <si>
    <t>Asumimos que si el administrador cuenta con idoneidad técnica (tecnólogo en turismo/inscrito en el RUAPH) y aplica un protocolo de medición con sonómetros certificados y descargos obligatorios, se reducirán en un 80% las tutelas perdidas por nulidad.</t>
  </si>
  <si>
    <t>¿Cómo impacta la verificación sistematizada del RNT en portería en el volumen de reservas de rentas cortas informales no reportadas?</t>
  </si>
  <si>
    <t>¿Cuál es el efecto de sustituir el registro dactilar por un flujo de consentimiento digital QR en el nivel de cumplimiento normativo ante la SIC?</t>
  </si>
  <si>
    <t>¿En qué medida influye la adopción de sonómetros y descargos formales en la efectividad del cobro ejecutivo de las multas impuestas por la copropiedad?</t>
  </si>
  <si>
    <t>Mensual: Procesado el primer día hábil de cada mes sobre los registros del software de administración.</t>
  </si>
  <si>
    <t>Semanal: Monitoreado cada lunes para evaluar la adopción del personal de seguridad privada.</t>
  </si>
  <si>
    <t>Semestral: Revisado en los cortes de informe de gestión del administrador antes de asambleas ordinarias/extraordinarias.</t>
  </si>
  <si>
    <t>Se espera que la TVAR alcance un nivel mayor o igual al 95%, lo que demuestra que la API bloquea de forma autónoma los accesos irregulares.</t>
  </si>
  <si>
    <t>Se espera alcanzar el 100% de cumplimiento legal en Habeas Data, registrando cero quejas formales en el portal de la SIC.</t>
  </si>
  <si>
    <t>Se espera que la TIS caiga a niveles inferiores al 2%, blindando los cobros de cartera morosa de convivencia.</t>
  </si>
  <si>
    <t>Si la TVAR es menor o igual al 70% tras un mes de implementación, la hipótesis se declara refutada (los evasores ingresan turistas como visitas familiares en portería).</t>
  </si>
  <si>
    <t>Si la TRLV es menor o igual al 90% tras dos semanas, la hipótesis es refutada (los vigilantes omiten el flujo QR y siguen registrando datos manualmente en libros públicos).</t>
  </si>
  <si>
    <t>Si la TIS se mantiene por encima del 15% tras un semestre, la hipótesis es refutada (los reglamentos siguen teniendo vacíos graves en el debido proceso constitucional).</t>
  </si>
  <si>
    <t>Seguridad física y tranquilidad comunitaria para el residente habitacional permanente, y formalización de rentas para el propietario anfitrión.</t>
  </si>
  <si>
    <t>Protección al derecho constitucional de intimidad y Habeas Data del turista, erradicando prácticas invasivas de biometría en el ingreso.</t>
  </si>
  <si>
    <t>Garantía del debido proceso para el infractor (derecho a descargos), reduciendo las agresiones físicas y verbales en asambleas.</t>
  </si>
  <si>
    <t>Gentrificación acelerada de la copropiedad, devaluación del patrimonio residencial y exposición del administrador a multas personales de 3 SMMLV.</t>
  </si>
  <si>
    <t>Sanciones inminentes de la SIC a la PH por hasta 2.000 SMLMV, demandas civiles de turistas y fallos de tutela por violación de privacidad.</t>
  </si>
  <si>
    <t>Inestabilidad financiera de la PH por anulación masiva de cartera de convivencia y cobros ejecutivos rechazados por jueces por certificación defectuosa.</t>
  </si>
  <si>
    <t>Adoptar la validación digital por API como política estatutaria obligatoria mediante reforma del reglamento aprobada por el 70% de coeficientes en asamblea.</t>
  </si>
  <si>
    <t>Desinstalar permanentemente los dispositivos físicos de huella dactilar de todas las porterías de la copropiedad y actualizar la política de privacidad.</t>
  </si>
  <si>
    <t>Protocolizar el manual de convivencia modificado por escritura pública e inscribirlo en la Oficina de Registro de Instrumentos Públicos.</t>
  </si>
  <si>
    <t>Rediseñar el sistema de control en portería, implementando auditorías de censo físico aleatorias por parte del comité de convivencia.</t>
  </si>
  <si>
    <t>Suspender el contrato comercial con la empresa de vigilancia privada por incumplimiento de directrices de Habeas Data y capacitar en el Decreto 768.</t>
  </si>
  <si>
    <t>Contratar una firma de abogados de PH (como Castro &amp; Torres) para redactar un Proceso Único de Policía interno acorde a la jurisprudencia de la Corte.</t>
  </si>
  <si>
    <t>Tasa de Validación Automática de RNT (TVAR):
TVAR = (reservas validadas / total reservas) * 100</t>
  </si>
  <si>
    <t>Tasa de Registro Legal de Visitantes (TRLV):
TRLV = (visitantes consentimiento / total visitantes) * 100</t>
  </si>
  <si>
    <t>Tasa de Impugnación de Sanciones (TIS):
TIS = (sanciones impugnadas / total sanciones) * 100</t>
  </si>
  <si>
    <t>Asumimos que si los estudiantes/huéspedes tienen un pre-registro digital coordinado con la API de RNT, se eliminará el uso informal clandestino de viviendas turísticas.</t>
  </si>
  <si>
    <t>Asumimos que la sustitución de sistemas biométricos por un flujo de consentimiento digital QR erradicará el riesgo de sanciones administrativas de la SIC.</t>
  </si>
  <si>
    <t>Asumimos que un administrador idóneo con título en turismo inscrito en el RUAPH reducirá a cero las tutelas ganadas por infractores de rentas cortas ruidosas.</t>
  </si>
  <si>
    <t>Implementar un módulo automatizado de pre-registro de rentas cortas para la portería de la copropiedad residencial.</t>
  </si>
  <si>
    <t>Reemplazar lectores físicos de huella dactilar por escáneres de códigos QR compatibles con la ley de protección de datos personales.</t>
  </si>
  <si>
    <t>Rediseñar e implementar el protocolo legal de ruidos molestos de la copropiedad, dotando a la portería de sonómetros debidamente calibrados.</t>
  </si>
  <si>
    <t>A través de una API conectada con el Registro Nacional de Turismo (RNT) del MinCIT y el sistema contable de cuotas de la administración.</t>
  </si>
  <si>
    <t>A través de una web-app móvil donde el visitante lee y acepta los términos de la política de Habeas Data antes de recibir su pase QR temporal de acceso.</t>
  </si>
  <si>
    <t>Mediante la certificación formal del administrador ante el RUAPH y la instauración de una etapa obligatoria de descargos y mediación antes de multar.</t>
  </si>
  <si>
    <t>Para bloquear automáticamente el acceso a huéspedes de anfitriones informales, asegurando el orden y evitando multas de 3 SMMLV al administrador.</t>
  </si>
  <si>
    <t>Para garantizar el derecho fundamental de privacidad de los turistas (conforme al Decreto 768 de 2025) y evitar sanciones de la SIC de hasta 2.000 SMLMV.</t>
  </si>
  <si>
    <t>Para asegurar que las sanciones pecuniarias de convivencia cuenten con plena validez de debido proceso, prestando mérito ejecutivo (Ley 675, Art. 48).</t>
  </si>
  <si>
    <t>La proporción de reservas de arriendo turístico de corto plazo que ingresan con verificación exitosa de RNT y paz y salvo de administración.</t>
  </si>
  <si>
    <t>La proporción de ingresos de visitantes de rentas cortas que se realizan con aceptación expresa de Habeas Data libre de biometría obligatoria.</t>
  </si>
  <si>
    <t>La proporción de multas e imposición de sanciones de convivencia que logran cobrarse judicialmente sin ser anuladas por fallos de tutela.</t>
  </si>
  <si>
    <t>Propietarios anfitriones de Airbnb y personal de seguridad de la copropiedad residencial o mixta.</t>
  </si>
  <si>
    <t>Turistas, huéspedes nacionales y extranjeros que ingresan temporalmente a las unidades privadas de la PH.</t>
  </si>
  <si>
    <t>Propietarios infractores de rentas cortas que perturban la convivencia mediante ruidos y violaciones al reglamento interno de la PH.</t>
  </si>
  <si>
    <t>Eficacia (¿Logra el resultado de control de la informalidad y validación normativa?).</t>
  </si>
  <si>
    <t>Eficacia y Seguridad (¿Respeta el derecho constitucional de Habeas Data sin exigir huellas?).</t>
  </si>
  <si>
    <t>Eficacia Jurídica (¿Garantiza el debido proceso y blinda las finanzas de la copropiedad?).</t>
  </si>
  <si>
    <t>Índice de Validación de Cumplimiento Turístico (IVCT).</t>
  </si>
  <si>
    <t>Índice de Trazabilidad Segura y Cumplimiento de Datos (ITSCD).</t>
  </si>
  <si>
    <t>Índice de Efectividad Sancionatoria y Debido Proceso (IESDP).</t>
  </si>
  <si>
    <t>Reservas de rentas cortas validadas con RNT activo y paz y salvo contable.</t>
  </si>
  <si>
    <t>Visitantes de rentas cortas registrados con QR y aceptación de Habeas Data digital.</t>
  </si>
  <si>
    <t>Multas ratificadas judicialmente o pagadas sin recurso de nulidad por tutela.</t>
  </si>
  <si>
    <t>Total de reservas de rentas cortas que solicitaron ingreso a la copropiedad residencial en el mes.</t>
  </si>
  <si>
    <t>Total de visitantes turísticos ingresados a las unidades privadas de la PH en el mes.</t>
  </si>
  <si>
    <t>Total de sanciones de convivencia aplicadas por ruidos o uso irregular de áreas comunes en el año.</t>
  </si>
  <si>
    <t>Corte de conectividad del API con el servidor nacional de RNT del MinCIT, obligando a un registro manual de contingencia que abra brechas de evasión.</t>
  </si>
  <si>
    <t>Falla en el servidor del software de administración que aloja las firmas del Habeas Data, impidiendo verificar la aceptación de la Ley 1581 al ingresar.</t>
  </si>
  <si>
    <t>Juez de tutela ordenando suspender provisionalmente los cobros de una torre debido a que un administrador provisional usó pruebas de CCTV ilícitas (Decreto 768).</t>
  </si>
  <si>
    <t>Tasa (Porcentaje de validación mensual).</t>
  </si>
  <si>
    <t>Tasa (Porcentaje de registros legales de privacidad).</t>
  </si>
  <si>
    <t>Tasa (Porcentaje de sanciones consolidadas legalmente).</t>
  </si>
  <si>
    <t>Quincenal (primera y tercera semana del mes).</t>
  </si>
  <si>
    <t>Semanal (monitoreo del cumplimiento en el cambio de turno de guardias).</t>
  </si>
  <si>
    <t>Trimestral (corte de cartera de deudores no pecuniarios y tutelas notificadas).</t>
  </si>
  <si>
    <t>Logs de la plataforma transaccional de pre-registro digital contrastados con el reporte de novedades del libro de la empresa de vigilancia.</t>
  </si>
  <si>
    <t>Auditorías automáticas del servidor de base de datos de firmas digitales cruzado con el sensor de la puerta peatonal QR.</t>
  </si>
  <si>
    <t>Archivo de procesos ejecutivos de cobro prejudicial y tutelas notificadas en la copropiedad, cruzado con el libro de actas del Consejo.</t>
  </si>
  <si>
    <t>Actualmente solo el 15% de las reservas ingresan con RNT reportado formalmente ante la administración.</t>
  </si>
  <si>
    <t>El 100% de los conjuntos de la zona turística usan biometría dactilar ilegal de forma obligatoria para el control de turistas.</t>
  </si>
  <si>
    <t>El 85% de las multas impuestas en la zona son anuladas en los juzgados debido a que el administrador no respeta el debido proceso ni tiene competencia técnica.</t>
  </si>
  <si>
    <t xml:space="preserve">1. Numerador / Outcome
2. Denominador / Control
3. Explicativa
4. Segmento
</t>
  </si>
  <si>
    <t xml:space="preserve">1. reservas validadas
2. total reservas solicitadas
3. estado rnt mincit
4. paz y salvo administracion
</t>
  </si>
  <si>
    <t xml:space="preserve">1. visitantes consentimiento
2. total visitantes turisticos
3. aceptacion habeas data flujo
4. tipo registro porteria
</t>
  </si>
  <si>
    <t xml:space="preserve">1. multas ratificadas judicialmente
2. total sanciones aplicadas
3. registro sonometro decibeles
4. acta audiencia descargos
</t>
  </si>
  <si>
    <t xml:space="preserve">TVAR ≥ 95%
</t>
  </si>
  <si>
    <t xml:space="preserve">TRLV = 100% (Cero quejas formales en portal de la SIC)
</t>
  </si>
  <si>
    <t xml:space="preserve">IESDP ≥ 98% (Tasa de Impugnación / Nulidad &lt; 2%)
</t>
  </si>
  <si>
    <t xml:space="preserve">TVAR ≤ 70% tras un mes de implementación.
</t>
  </si>
  <si>
    <t xml:space="preserve">TRLV ≤ 90% tras dos semanas de implementación.
</t>
  </si>
  <si>
    <t xml:space="preserve">Tasa de Impugnación de Sanciones &gt; 15% tras un semestre.
</t>
  </si>
  <si>
    <t xml:space="preserve">A/B Testing en portería: Monitorear por 30 días la tasa de rechazo automático vía API vs. registros manuales en bitácora física.
</t>
  </si>
  <si>
    <t xml:space="preserve">Piloto de 14 días sustituyendo lectores de huella por tótems QR de lectura de Habeas Data en la portería principal de la torre de rentas cortas. </t>
  </si>
  <si>
    <t xml:space="preserve">Prueba de campo de 90 días aplicando protocolo de sonómetro de precisión y citación formal a descargos previa imposición de multas.
</t>
  </si>
  <si>
    <t xml:space="preserve">Validado (V)
</t>
  </si>
  <si>
    <t xml:space="preserve">En Análisis / Asignado (A)
</t>
  </si>
  <si>
    <t xml:space="preserve">
TVAR = (reservas validadas / total reservas) * 100</t>
  </si>
  <si>
    <t xml:space="preserve">
TRLV = (visitantes consentimiento / total visitantes) * 100</t>
  </si>
  <si>
    <t xml:space="preserve">
TIS = (sanciones impugnadas / total sanciones)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</si>
</sst>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262626"/>
      <name val="Times New Roman"/>
      <family val="1"/>
    </font>
    <font>
      <sz val="10"/>
      <color rgb="FF333333"/>
      <name val="Calibri"/>
    </font>
    <font>
      <sz val="12"/>
      <color rgb="FF33333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5"/>
        <bgColor rgb="FFFFFFFF"/>
      </patternFill>
    </fill>
    <fill>
      <patternFill patternType="solid">
        <fgColor theme="5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5" fillId="0" borderId="0" xfId="0" applyFont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" fillId="5" borderId="5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vertical="center" wrapText="1"/>
    </xf>
    <xf numFmtId="0" fontId="5" fillId="5" borderId="0" xfId="0" applyFont="1" applyFill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0" borderId="5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/>
    </xf>
    <xf numFmtId="0" fontId="5" fillId="0" borderId="5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0" fontId="2" fillId="0" borderId="11" xfId="0" applyFont="1" applyFill="1" applyBorder="1" applyAlignment="1">
      <alignment vertical="center" wrapText="1"/>
    </xf>
    <xf numFmtId="0" fontId="2" fillId="0" borderId="13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vertical="center" wrapText="1"/>
    </xf>
    <xf numFmtId="0" fontId="2" fillId="0" borderId="14" xfId="0" applyFont="1" applyFill="1" applyBorder="1" applyAlignment="1">
      <alignment vertical="center" wrapText="1"/>
    </xf>
    <xf numFmtId="0" fontId="6" fillId="0" borderId="15" xfId="0" applyFont="1" applyFill="1" applyBorder="1" applyAlignment="1">
      <alignment vertical="center" wrapText="1"/>
    </xf>
    <xf numFmtId="0" fontId="6" fillId="0" borderId="16" xfId="0" applyFont="1" applyFill="1" applyBorder="1" applyAlignment="1">
      <alignment vertical="center" wrapText="1"/>
    </xf>
    <xf numFmtId="0" fontId="6" fillId="4" borderId="16" xfId="0" applyFont="1" applyFill="1" applyBorder="1" applyAlignment="1">
      <alignment vertical="center" wrapText="1"/>
    </xf>
    <xf numFmtId="0" fontId="6" fillId="0" borderId="17" xfId="0" applyFont="1" applyFill="1" applyBorder="1" applyAlignment="1">
      <alignment vertical="center" wrapText="1"/>
    </xf>
    <xf numFmtId="0" fontId="8" fillId="0" borderId="12" xfId="0" applyFont="1" applyFill="1" applyBorder="1" applyAlignment="1">
      <alignment horizontal="left" vertical="top" wrapText="1"/>
    </xf>
    <xf numFmtId="0" fontId="8" fillId="0" borderId="13" xfId="0" applyFont="1" applyFill="1" applyBorder="1" applyAlignment="1">
      <alignment horizontal="left" vertical="top" wrapText="1"/>
    </xf>
    <xf numFmtId="0" fontId="8" fillId="0" borderId="7" xfId="0" applyFont="1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left" vertical="top" wrapText="1"/>
    </xf>
    <xf numFmtId="0" fontId="8" fillId="0" borderId="9" xfId="0" applyFont="1" applyFill="1" applyBorder="1" applyAlignment="1">
      <alignment horizontal="left" vertical="top" wrapText="1"/>
    </xf>
    <xf numFmtId="0" fontId="8" fillId="0" borderId="10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vertical="top" wrapText="1"/>
    </xf>
    <xf numFmtId="0" fontId="1" fillId="0" borderId="4" xfId="0" applyFont="1" applyBorder="1" applyAlignment="1">
      <alignment vertical="center" wrapText="1"/>
    </xf>
    <xf numFmtId="0" fontId="7" fillId="2" borderId="18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vertical="top"/>
    </xf>
    <xf numFmtId="0" fontId="2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vertical="top"/>
    </xf>
    <xf numFmtId="0" fontId="6" fillId="0" borderId="19" xfId="0" applyFont="1" applyFill="1" applyBorder="1" applyAlignment="1">
      <alignment vertical="center" wrapText="1"/>
    </xf>
    <xf numFmtId="0" fontId="8" fillId="0" borderId="20" xfId="0" applyFont="1" applyFill="1" applyBorder="1" applyAlignment="1">
      <alignment horizontal="left" vertical="top" wrapText="1"/>
    </xf>
    <xf numFmtId="0" fontId="8" fillId="0" borderId="21" xfId="0" applyFont="1" applyFill="1" applyBorder="1" applyAlignment="1">
      <alignment horizontal="left" vertical="top" wrapText="1"/>
    </xf>
    <xf numFmtId="0" fontId="8" fillId="0" borderId="22" xfId="0" applyFont="1" applyFill="1" applyBorder="1" applyAlignment="1">
      <alignment horizontal="left" vertical="top" wrapText="1"/>
    </xf>
    <xf numFmtId="0" fontId="6" fillId="0" borderId="23" xfId="0" applyFont="1" applyFill="1" applyBorder="1" applyAlignment="1">
      <alignment vertical="center" wrapText="1"/>
    </xf>
    <xf numFmtId="0" fontId="2" fillId="0" borderId="24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2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6"/>
  <sheetViews>
    <sheetView topLeftCell="D1" zoomScale="69" zoomScaleNormal="100" workbookViewId="0">
      <selection activeCell="I1" sqref="I1:I1048576"/>
    </sheetView>
  </sheetViews>
  <sheetFormatPr baseColWidth="10" defaultColWidth="12.7109375" defaultRowHeight="15.75" customHeight="1" x14ac:dyDescent="0.2"/>
  <cols>
    <col min="1" max="3" width="23.85546875" style="18" customWidth="1"/>
    <col min="4" max="4" width="29" style="18" bestFit="1" customWidth="1"/>
    <col min="5" max="7" width="23.85546875" style="18" customWidth="1"/>
    <col min="8" max="8" width="23.85546875" style="12" customWidth="1"/>
    <col min="9" max="15" width="23.85546875" style="18" customWidth="1"/>
    <col min="16" max="16" width="23.85546875" style="19" customWidth="1"/>
    <col min="17" max="18" width="23.85546875" style="18" customWidth="1"/>
    <col min="19" max="20" width="12.7109375" style="18"/>
    <col min="21" max="16384" width="12.7109375" style="7"/>
  </cols>
  <sheetData>
    <row r="1" spans="1:20" ht="60.75" customHeight="1" thickBot="1" x14ac:dyDescent="0.25">
      <c r="A1" s="31" t="s">
        <v>0</v>
      </c>
      <c r="B1" s="32" t="s">
        <v>1</v>
      </c>
      <c r="C1" s="32" t="s">
        <v>3</v>
      </c>
      <c r="D1" s="32" t="s">
        <v>2</v>
      </c>
      <c r="E1" s="32" t="s">
        <v>4</v>
      </c>
      <c r="F1" s="32" t="s">
        <v>5</v>
      </c>
      <c r="G1" s="32" t="s">
        <v>6</v>
      </c>
      <c r="H1" s="33" t="s">
        <v>7</v>
      </c>
      <c r="I1" s="32" t="s">
        <v>8</v>
      </c>
      <c r="J1" s="32" t="s">
        <v>40</v>
      </c>
      <c r="K1" s="32" t="s">
        <v>10</v>
      </c>
      <c r="L1" s="32" t="s">
        <v>11</v>
      </c>
      <c r="M1" s="32" t="s">
        <v>12</v>
      </c>
      <c r="N1" s="32" t="s">
        <v>13</v>
      </c>
      <c r="O1" s="52" t="s">
        <v>14</v>
      </c>
      <c r="P1" s="22" t="s">
        <v>15</v>
      </c>
      <c r="Q1" s="56" t="s">
        <v>16</v>
      </c>
      <c r="R1" s="34" t="s">
        <v>17</v>
      </c>
    </row>
    <row r="2" spans="1:20" ht="141.75" x14ac:dyDescent="0.2">
      <c r="A2" s="35" t="s">
        <v>41</v>
      </c>
      <c r="B2" s="36" t="s">
        <v>44</v>
      </c>
      <c r="C2" s="36" t="s">
        <v>47</v>
      </c>
      <c r="D2" s="36" t="s">
        <v>50</v>
      </c>
      <c r="E2" s="36" t="s">
        <v>53</v>
      </c>
      <c r="F2" s="36" t="s">
        <v>126</v>
      </c>
      <c r="G2" s="28" t="s">
        <v>125</v>
      </c>
      <c r="H2" s="29"/>
      <c r="I2" s="36" t="s">
        <v>77</v>
      </c>
      <c r="J2" s="36" t="s">
        <v>56</v>
      </c>
      <c r="K2" s="36" t="s">
        <v>59</v>
      </c>
      <c r="L2" s="36" t="s">
        <v>62</v>
      </c>
      <c r="M2" s="36" t="s">
        <v>65</v>
      </c>
      <c r="N2" s="36" t="s">
        <v>68</v>
      </c>
      <c r="O2" s="53" t="s">
        <v>71</v>
      </c>
      <c r="P2" s="38" t="s">
        <v>74</v>
      </c>
      <c r="Q2" s="57" t="s">
        <v>135</v>
      </c>
      <c r="R2" s="30" t="s">
        <v>138</v>
      </c>
    </row>
    <row r="3" spans="1:20" ht="126" x14ac:dyDescent="0.2">
      <c r="A3" s="37" t="s">
        <v>42</v>
      </c>
      <c r="B3" s="38" t="s">
        <v>45</v>
      </c>
      <c r="C3" s="38" t="s">
        <v>48</v>
      </c>
      <c r="D3" s="38" t="s">
        <v>51</v>
      </c>
      <c r="E3" s="38" t="s">
        <v>54</v>
      </c>
      <c r="F3" s="16" t="s">
        <v>127</v>
      </c>
      <c r="G3" s="28" t="s">
        <v>125</v>
      </c>
      <c r="H3" s="10"/>
      <c r="I3" s="38" t="s">
        <v>78</v>
      </c>
      <c r="J3" s="38" t="s">
        <v>57</v>
      </c>
      <c r="K3" s="38" t="s">
        <v>60</v>
      </c>
      <c r="L3" s="38" t="s">
        <v>63</v>
      </c>
      <c r="M3" s="38" t="s">
        <v>66</v>
      </c>
      <c r="N3" s="38" t="s">
        <v>69</v>
      </c>
      <c r="O3" s="54" t="s">
        <v>72</v>
      </c>
      <c r="P3" s="38" t="s">
        <v>75</v>
      </c>
      <c r="Q3" s="58" t="s">
        <v>136</v>
      </c>
      <c r="R3" s="24" t="s">
        <v>138</v>
      </c>
    </row>
    <row r="4" spans="1:20" s="9" customFormat="1" ht="158.25" thickBot="1" x14ac:dyDescent="0.25">
      <c r="A4" s="39" t="s">
        <v>43</v>
      </c>
      <c r="B4" s="40" t="s">
        <v>46</v>
      </c>
      <c r="C4" s="40" t="s">
        <v>49</v>
      </c>
      <c r="D4" s="40" t="s">
        <v>52</v>
      </c>
      <c r="E4" s="40" t="s">
        <v>55</v>
      </c>
      <c r="F4" s="25" t="s">
        <v>128</v>
      </c>
      <c r="G4" s="28" t="s">
        <v>125</v>
      </c>
      <c r="H4" s="26"/>
      <c r="I4" s="40" t="s">
        <v>79</v>
      </c>
      <c r="J4" s="40" t="s">
        <v>58</v>
      </c>
      <c r="K4" s="40" t="s">
        <v>61</v>
      </c>
      <c r="L4" s="40" t="s">
        <v>64</v>
      </c>
      <c r="M4" s="40" t="s">
        <v>67</v>
      </c>
      <c r="N4" s="40" t="s">
        <v>70</v>
      </c>
      <c r="O4" s="55" t="s">
        <v>73</v>
      </c>
      <c r="P4" s="38" t="s">
        <v>76</v>
      </c>
      <c r="Q4" s="59" t="s">
        <v>137</v>
      </c>
      <c r="R4" s="27" t="s">
        <v>139</v>
      </c>
      <c r="S4" s="21"/>
      <c r="T4" s="19"/>
    </row>
    <row r="5" spans="1:20" s="8" customFormat="1" ht="15.75" customHeight="1" x14ac:dyDescent="0.2">
      <c r="A5" s="17"/>
      <c r="B5" s="17"/>
      <c r="C5" s="17"/>
      <c r="D5" s="17"/>
      <c r="E5" s="17"/>
      <c r="F5" s="17"/>
      <c r="G5" s="17"/>
      <c r="H5" s="11"/>
      <c r="I5" s="17"/>
      <c r="J5" s="17"/>
      <c r="K5" s="17"/>
      <c r="L5" s="17"/>
      <c r="M5" s="17"/>
      <c r="N5" s="17"/>
      <c r="O5" s="17"/>
      <c r="P5" s="16"/>
      <c r="Q5" s="17"/>
      <c r="R5" s="17"/>
      <c r="S5" s="20"/>
      <c r="T5" s="20"/>
    </row>
    <row r="6" spans="1:20" s="8" customFormat="1" ht="15.75" customHeight="1" x14ac:dyDescent="0.2">
      <c r="A6" s="17"/>
      <c r="B6" s="17"/>
      <c r="C6" s="17"/>
      <c r="D6" s="17"/>
      <c r="E6" s="17"/>
      <c r="F6" s="17"/>
      <c r="G6" s="17"/>
      <c r="H6" s="11"/>
      <c r="I6" s="17"/>
      <c r="J6" s="17"/>
      <c r="K6" s="17"/>
      <c r="L6" s="17"/>
      <c r="M6" s="17"/>
      <c r="N6" s="17"/>
      <c r="O6" s="17"/>
      <c r="P6" s="16"/>
      <c r="Q6" s="17"/>
      <c r="R6" s="17"/>
      <c r="S6" s="20"/>
      <c r="T6" s="20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5"/>
  <sheetViews>
    <sheetView tabSelected="1" topLeftCell="G4" zoomScale="88" workbookViewId="0">
      <selection activeCell="I7" sqref="I7"/>
    </sheetView>
  </sheetViews>
  <sheetFormatPr baseColWidth="10" defaultColWidth="12.7109375" defaultRowHeight="15.75" customHeight="1" x14ac:dyDescent="0.2"/>
  <cols>
    <col min="1" max="1" width="40.7109375" style="51" customWidth="1"/>
    <col min="2" max="2" width="26.28515625" style="51" customWidth="1"/>
    <col min="3" max="3" width="24.140625" style="51" customWidth="1"/>
    <col min="4" max="4" width="21.7109375" style="51" customWidth="1"/>
    <col min="5" max="5" width="25.7109375" style="51" customWidth="1"/>
    <col min="6" max="6" width="26.5703125" style="51" customWidth="1"/>
    <col min="7" max="7" width="37.140625" style="51" customWidth="1"/>
    <col min="8" max="8" width="21.7109375" style="51" customWidth="1"/>
    <col min="9" max="9" width="23.42578125" style="51" customWidth="1"/>
    <col min="10" max="10" width="21.85546875" style="51" customWidth="1"/>
    <col min="11" max="11" width="21.7109375" style="51" customWidth="1"/>
    <col min="12" max="12" width="23.140625" style="51" customWidth="1"/>
    <col min="13" max="15" width="21.7109375" style="51" customWidth="1"/>
    <col min="16" max="17" width="21.7109375" style="1" customWidth="1"/>
    <col min="18" max="18" width="27.7109375" style="1" customWidth="1"/>
    <col min="19" max="16384" width="12.7109375" style="1"/>
  </cols>
  <sheetData>
    <row r="1" spans="1:18" ht="15.75" customHeight="1" x14ac:dyDescent="0.2">
      <c r="A1" s="45" t="s">
        <v>2</v>
      </c>
      <c r="B1" s="46" t="s">
        <v>9</v>
      </c>
      <c r="C1" s="47"/>
      <c r="D1" s="47"/>
      <c r="E1" s="46" t="s">
        <v>18</v>
      </c>
      <c r="F1" s="47"/>
      <c r="G1" s="47"/>
      <c r="H1" s="46" t="s">
        <v>19</v>
      </c>
      <c r="I1" s="47"/>
      <c r="J1" s="47"/>
      <c r="K1" s="47"/>
      <c r="L1" s="47"/>
      <c r="M1" s="45" t="s">
        <v>20</v>
      </c>
      <c r="N1" s="46" t="s">
        <v>21</v>
      </c>
      <c r="O1" s="47"/>
      <c r="P1" s="13" t="s">
        <v>22</v>
      </c>
      <c r="Q1" s="14"/>
      <c r="R1" s="15"/>
    </row>
    <row r="2" spans="1:18" ht="63" x14ac:dyDescent="0.2">
      <c r="A2" s="48" t="s">
        <v>80</v>
      </c>
      <c r="B2" s="41" t="s">
        <v>23</v>
      </c>
      <c r="C2" s="41" t="s">
        <v>24</v>
      </c>
      <c r="D2" s="41" t="s">
        <v>25</v>
      </c>
      <c r="E2" s="41" t="s">
        <v>26</v>
      </c>
      <c r="F2" s="41" t="s">
        <v>27</v>
      </c>
      <c r="G2" s="41" t="s">
        <v>28</v>
      </c>
      <c r="H2" s="41" t="s">
        <v>29</v>
      </c>
      <c r="I2" s="41" t="s">
        <v>30</v>
      </c>
      <c r="J2" s="41" t="s">
        <v>31</v>
      </c>
      <c r="K2" s="41" t="s">
        <v>32</v>
      </c>
      <c r="L2" s="41" t="s">
        <v>33</v>
      </c>
      <c r="M2" s="41" t="s">
        <v>34</v>
      </c>
      <c r="N2" s="41" t="s">
        <v>35</v>
      </c>
      <c r="O2" s="41" t="s">
        <v>36</v>
      </c>
      <c r="P2" s="42" t="s">
        <v>37</v>
      </c>
      <c r="Q2" s="5" t="s">
        <v>38</v>
      </c>
      <c r="R2" s="5" t="s">
        <v>39</v>
      </c>
    </row>
    <row r="3" spans="1:18" ht="117" customHeight="1" x14ac:dyDescent="0.2">
      <c r="A3" s="49"/>
      <c r="B3" s="23" t="s">
        <v>83</v>
      </c>
      <c r="C3" s="23" t="s">
        <v>86</v>
      </c>
      <c r="D3" s="23" t="s">
        <v>89</v>
      </c>
      <c r="E3" s="23" t="s">
        <v>92</v>
      </c>
      <c r="F3" s="23" t="s">
        <v>95</v>
      </c>
      <c r="G3" s="23" t="s">
        <v>98</v>
      </c>
      <c r="H3" s="23" t="s">
        <v>101</v>
      </c>
      <c r="I3" s="23" t="s">
        <v>104</v>
      </c>
      <c r="J3" s="23" t="s">
        <v>107</v>
      </c>
      <c r="K3" s="36" t="s">
        <v>140</v>
      </c>
      <c r="L3" s="23" t="s">
        <v>110</v>
      </c>
      <c r="M3" s="23" t="s">
        <v>113</v>
      </c>
      <c r="N3" s="23" t="s">
        <v>116</v>
      </c>
      <c r="O3" s="23" t="s">
        <v>119</v>
      </c>
      <c r="P3" s="43" t="s">
        <v>122</v>
      </c>
      <c r="Q3" s="4" t="s">
        <v>129</v>
      </c>
      <c r="R3" s="4" t="s">
        <v>132</v>
      </c>
    </row>
    <row r="4" spans="1:18" ht="63" x14ac:dyDescent="0.2">
      <c r="A4" s="48" t="s">
        <v>81</v>
      </c>
      <c r="B4" s="41" t="s">
        <v>23</v>
      </c>
      <c r="C4" s="41" t="s">
        <v>24</v>
      </c>
      <c r="D4" s="41" t="s">
        <v>25</v>
      </c>
      <c r="E4" s="41" t="s">
        <v>26</v>
      </c>
      <c r="F4" s="41" t="s">
        <v>27</v>
      </c>
      <c r="G4" s="41" t="s">
        <v>28</v>
      </c>
      <c r="H4" s="41" t="s">
        <v>29</v>
      </c>
      <c r="I4" s="41" t="s">
        <v>30</v>
      </c>
      <c r="J4" s="41" t="s">
        <v>31</v>
      </c>
      <c r="K4" s="41" t="s">
        <v>32</v>
      </c>
      <c r="L4" s="41" t="s">
        <v>33</v>
      </c>
      <c r="M4" s="41" t="s">
        <v>34</v>
      </c>
      <c r="N4" s="41" t="s">
        <v>35</v>
      </c>
      <c r="O4" s="41" t="s">
        <v>36</v>
      </c>
      <c r="P4" s="42" t="s">
        <v>37</v>
      </c>
      <c r="Q4" s="5" t="s">
        <v>38</v>
      </c>
      <c r="R4" s="5" t="s">
        <v>39</v>
      </c>
    </row>
    <row r="5" spans="1:18" ht="98.25" customHeight="1" x14ac:dyDescent="0.2">
      <c r="A5" s="48"/>
      <c r="B5" s="23" t="s">
        <v>84</v>
      </c>
      <c r="C5" s="23" t="s">
        <v>87</v>
      </c>
      <c r="D5" s="23" t="s">
        <v>90</v>
      </c>
      <c r="E5" s="23" t="s">
        <v>93</v>
      </c>
      <c r="F5" s="23" t="s">
        <v>96</v>
      </c>
      <c r="G5" s="23" t="s">
        <v>99</v>
      </c>
      <c r="H5" s="23" t="s">
        <v>102</v>
      </c>
      <c r="I5" s="23" t="s">
        <v>105</v>
      </c>
      <c r="J5" s="23" t="s">
        <v>108</v>
      </c>
      <c r="K5" s="38" t="s">
        <v>141</v>
      </c>
      <c r="L5" s="23" t="s">
        <v>111</v>
      </c>
      <c r="M5" s="23" t="s">
        <v>114</v>
      </c>
      <c r="N5" s="23" t="s">
        <v>117</v>
      </c>
      <c r="O5" s="23" t="s">
        <v>120</v>
      </c>
      <c r="P5" s="43" t="s">
        <v>123</v>
      </c>
      <c r="Q5" s="6" t="s">
        <v>130</v>
      </c>
      <c r="R5" s="4" t="s">
        <v>133</v>
      </c>
    </row>
    <row r="6" spans="1:18" ht="35.25" customHeight="1" x14ac:dyDescent="0.2">
      <c r="A6" s="50" t="s">
        <v>82</v>
      </c>
      <c r="B6" s="41" t="s">
        <v>23</v>
      </c>
      <c r="C6" s="41" t="s">
        <v>24</v>
      </c>
      <c r="D6" s="41" t="s">
        <v>25</v>
      </c>
      <c r="E6" s="41" t="s">
        <v>26</v>
      </c>
      <c r="F6" s="41" t="s">
        <v>27</v>
      </c>
      <c r="G6" s="41" t="s">
        <v>28</v>
      </c>
      <c r="H6" s="41" t="s">
        <v>29</v>
      </c>
      <c r="I6" s="41" t="s">
        <v>30</v>
      </c>
      <c r="J6" s="41" t="s">
        <v>31</v>
      </c>
      <c r="K6" s="41" t="s">
        <v>32</v>
      </c>
      <c r="L6" s="41" t="s">
        <v>33</v>
      </c>
      <c r="M6" s="41" t="s">
        <v>34</v>
      </c>
      <c r="N6" s="41" t="s">
        <v>35</v>
      </c>
      <c r="O6" s="41" t="s">
        <v>36</v>
      </c>
      <c r="P6" s="44" t="s">
        <v>37</v>
      </c>
      <c r="Q6" s="2" t="s">
        <v>38</v>
      </c>
      <c r="R6" s="2" t="s">
        <v>39</v>
      </c>
    </row>
    <row r="7" spans="1:18" ht="108" customHeight="1" thickBot="1" x14ac:dyDescent="0.25">
      <c r="A7" s="50"/>
      <c r="B7" s="23" t="s">
        <v>85</v>
      </c>
      <c r="C7" s="23" t="s">
        <v>88</v>
      </c>
      <c r="D7" s="23" t="s">
        <v>91</v>
      </c>
      <c r="E7" s="23" t="s">
        <v>94</v>
      </c>
      <c r="F7" s="23" t="s">
        <v>97</v>
      </c>
      <c r="G7" s="23" t="s">
        <v>100</v>
      </c>
      <c r="H7" s="23" t="s">
        <v>103</v>
      </c>
      <c r="I7" s="23" t="s">
        <v>106</v>
      </c>
      <c r="J7" s="23" t="s">
        <v>109</v>
      </c>
      <c r="K7" s="40" t="s">
        <v>142</v>
      </c>
      <c r="L7" s="23" t="s">
        <v>112</v>
      </c>
      <c r="M7" s="23" t="s">
        <v>115</v>
      </c>
      <c r="N7" s="23" t="s">
        <v>118</v>
      </c>
      <c r="O7" s="23" t="s">
        <v>121</v>
      </c>
      <c r="P7" s="43" t="s">
        <v>124</v>
      </c>
      <c r="Q7" s="3" t="s">
        <v>131</v>
      </c>
      <c r="R7" s="4" t="s">
        <v>134</v>
      </c>
    </row>
    <row r="15" spans="1:18" ht="15.75" customHeight="1" x14ac:dyDescent="0.2">
      <c r="O15" s="51">
        <f ca="1">N15:O25</f>
        <v>0</v>
      </c>
    </row>
  </sheetData>
  <mergeCells count="8">
    <mergeCell ref="P1:R1"/>
    <mergeCell ref="A4:A5"/>
    <mergeCell ref="A6:A7"/>
    <mergeCell ref="A2:A3"/>
    <mergeCell ref="B1:D1"/>
    <mergeCell ref="E1:G1"/>
    <mergeCell ref="H1:L1"/>
    <mergeCell ref="N1:O1"/>
  </mergeCells>
  <dataValidations count="2">
    <dataValidation type="list" allowBlank="1" showErrorMessage="1" sqref="M3 M5 M7">
      <formula1>"Porcentaje (%),Tasa (por 1,000),Promedio (#),Número Absoluto (#),Índice"</formula1>
    </dataValidation>
    <dataValidation type="list" allowBlank="1" showErrorMessage="1" sqref="N3 N5 N7">
      <formula1>"Diaria: Todos los días.,Semanal: Una vez a la semana.,Quincenal: Cada quince días.,Mensual: Una vez al mes.,Bimestral: Cada dos meses.,Trimestral: Cada tres meses.,Semestral: Cada seis meses.,Anual: Una vez al año.,Por evento o hito: Se mide solo cuando o"&amp;"curre algo específico"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Tablero de priorización</vt:lpstr>
      <vt:lpstr>Ficha de Indicador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</dc:creator>
  <cp:lastModifiedBy>Paola</cp:lastModifiedBy>
  <cp:lastPrinted>2026-08-22T14:27:29Z</cp:lastPrinted>
  <dcterms:modified xsi:type="dcterms:W3CDTF">2026-08-22T17:11:45Z</dcterms:modified>
</cp:coreProperties>
</file>